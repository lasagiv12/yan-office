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7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משימות פתוחות</t>
        </is>
      </c>
      <c r="B4" s="4">
        <f>COUNTIFS(tblTasks[סטטוס],"פתוחה")+COUNTIFS(tblTasks[סטטוס],"בטיפול")</f>
        <v/>
      </c>
    </row>
    <row r="5">
      <c r="A5" s="3" t="inlineStr">
        <is>
          <t>משימות באיחור</t>
        </is>
      </c>
      <c r="B5" s="4">
        <f>COUNTIFS(tblTasks[סטטוס],"פתוחה",tblTasks[יעד לטיפול],"&lt;"&amp;TODAY())+COUNTIFS(tblTasks[סטטוס],"בטיפול",tblTasks[יעד לטיפול],"&lt;"&amp;TODAY())</f>
        <v/>
      </c>
    </row>
    <row r="6">
      <c r="A6" s="3" t="inlineStr">
        <is>
          <t>משימות פתוחות של יאן</t>
        </is>
      </c>
      <c r="B6" s="4">
        <f>COUNTIFS(tblTasks[צד],"יאן",tblTasks[סטטוס],"פתוחה")+COUNTIFS(tblTasks[צד],"יאן",tblTasks[סטטוס],"בטיפול")</f>
        <v/>
      </c>
    </row>
    <row r="7">
      <c r="A7" s="3" t="inlineStr">
        <is>
          <t>נושאים פתוחים</t>
        </is>
      </c>
      <c r="B7" s="4">
        <f>COUNTIFS(tblOpen[סטטוס],"פתוח")</f>
        <v/>
      </c>
    </row>
    <row r="8">
      <c r="A8" s="3" t="inlineStr">
        <is>
          <t>עקרונות בתוקף</t>
        </is>
      </c>
      <c r="B8" s="4">
        <f>COUNTIFS(tblPrinciples[בתוקף],"כן")</f>
        <v/>
      </c>
    </row>
    <row r="9">
      <c r="A9" s="3" t="inlineStr">
        <is>
          <t>פגישה אחרונה</t>
        </is>
      </c>
      <c r="B9" s="5">
        <f>IF(COUNT(tblMeetings[תאריך])=0,"",MAX(tblMeetings[תאריך]))</f>
        <v/>
      </c>
    </row>
    <row r="10">
      <c r="A10" s="3" t="inlineStr">
        <is>
          <t>פגישה הבאה</t>
        </is>
      </c>
      <c r="B10" s="5">
        <f>IF(COUNT(tblMeetings[פגישה הבאה])=0,"",MAX(tblMeetings[פגישה הבאה]))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6" t="inlineStr">
        <is>
          <t>מזהה</t>
        </is>
      </c>
      <c r="B1" s="6" t="inlineStr">
        <is>
          <t>נושא ראשי</t>
        </is>
      </c>
      <c r="C1" s="6" t="inlineStr">
        <is>
          <t>הנושא לטיפול</t>
        </is>
      </c>
      <c r="D1" s="6" t="inlineStr">
        <is>
          <t>גורם מטפל</t>
        </is>
      </c>
      <c r="E1" s="6" t="inlineStr">
        <is>
          <t>צד</t>
        </is>
      </c>
      <c r="F1" s="6" t="inlineStr">
        <is>
          <t>סוג</t>
        </is>
      </c>
      <c r="G1" s="6" t="inlineStr">
        <is>
          <t>תדירות</t>
        </is>
      </c>
      <c r="H1" s="6" t="inlineStr">
        <is>
          <t>יעד לטיפול</t>
        </is>
      </c>
      <c r="I1" s="6" t="inlineStr">
        <is>
          <t>סטטוס</t>
        </is>
      </c>
      <c r="J1" s="6" t="inlineStr">
        <is>
          <t>תאריך סגירה</t>
        </is>
      </c>
      <c r="K1" s="6" t="inlineStr">
        <is>
          <t>פגישת מקור</t>
        </is>
      </c>
      <c r="L1" s="6" t="inlineStr">
        <is>
          <t>חסוי</t>
        </is>
      </c>
      <c r="M1" s="6" t="inlineStr">
        <is>
          <t>הערות</t>
        </is>
      </c>
    </row>
    <row r="2">
      <c r="A2" s="7" t="n"/>
      <c r="B2" s="7" t="n"/>
      <c r="C2" s="8" t="n"/>
      <c r="D2" s="7" t="n"/>
      <c r="E2" s="7" t="n"/>
      <c r="F2" s="7" t="n"/>
      <c r="G2" s="7" t="n"/>
      <c r="H2" s="9" t="n"/>
      <c r="I2" s="7" t="n"/>
      <c r="J2" s="9" t="n"/>
      <c r="K2" s="9" t="n"/>
      <c r="L2" s="7" t="n"/>
      <c r="M2" s="8" t="n"/>
    </row>
  </sheetData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מי החליט</t>
        </is>
      </c>
      <c r="E1" s="6" t="inlineStr">
        <is>
          <t>פגישת מקור</t>
        </is>
      </c>
      <c r="F1" s="6" t="inlineStr">
        <is>
          <t>חסוי</t>
        </is>
      </c>
      <c r="G1" s="6" t="inlineStr">
        <is>
          <t>הערות</t>
        </is>
      </c>
    </row>
    <row r="2">
      <c r="A2" s="9" t="n"/>
      <c r="B2" s="7" t="n"/>
      <c r="C2" s="8" t="n"/>
      <c r="D2" s="7" t="n"/>
      <c r="E2" s="9" t="n"/>
      <c r="F2" s="7" t="n"/>
      <c r="G2" s="8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מזהה</t>
        </is>
      </c>
      <c r="B1" s="6" t="inlineStr">
        <is>
          <t>עיקרון</t>
        </is>
      </c>
      <c r="C1" s="6" t="inlineStr">
        <is>
          <t>מאז</t>
        </is>
      </c>
      <c r="D1" s="6" t="inlineStr">
        <is>
          <t>פגישת מקור</t>
        </is>
      </c>
      <c r="E1" s="6" t="inlineStr">
        <is>
          <t>בתוקף</t>
        </is>
      </c>
      <c r="F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מזהה</t>
        </is>
      </c>
      <c r="B1" s="6" t="inlineStr">
        <is>
          <t>נושא</t>
        </is>
      </c>
      <c r="C1" s="6" t="inlineStr">
        <is>
          <t>עלה לראשונה</t>
        </is>
      </c>
      <c r="D1" s="6" t="inlineStr">
        <is>
          <t>תאריך החלטה צפוי</t>
        </is>
      </c>
      <c r="E1" s="6" t="inlineStr">
        <is>
          <t>סטטוס</t>
        </is>
      </c>
      <c r="F1" s="6" t="inlineStr">
        <is>
          <t>פגישת מקור</t>
        </is>
      </c>
      <c r="G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9" t="n"/>
      <c r="G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יעד</t>
        </is>
      </c>
      <c r="B1" s="6" t="inlineStr">
        <is>
          <t>מדד</t>
        </is>
      </c>
      <c r="C1" s="6" t="inlineStr">
        <is>
          <t>ערך יעד</t>
        </is>
      </c>
      <c r="D1" s="6" t="inlineStr">
        <is>
          <t>תאריך יעד</t>
        </is>
      </c>
      <c r="E1" s="6" t="inlineStr">
        <is>
          <t>סטטוס</t>
        </is>
      </c>
      <c r="F1" s="6" t="inlineStr">
        <is>
          <t>הערות</t>
        </is>
      </c>
    </row>
    <row r="2">
      <c r="A2" s="8" t="n"/>
      <c r="B2" s="7" t="n"/>
      <c r="C2" s="7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חודש</t>
        </is>
      </c>
      <c r="B1" s="6" t="inlineStr">
        <is>
          <t>מדד</t>
        </is>
      </c>
      <c r="C1" s="6" t="inlineStr">
        <is>
          <t>ערך</t>
        </is>
      </c>
      <c r="D1" s="6" t="inlineStr">
        <is>
          <t>יחידה</t>
        </is>
      </c>
      <c r="E1" s="6" t="inlineStr">
        <is>
          <t>קובץ מקור</t>
        </is>
      </c>
      <c r="F1" s="6" t="inlineStr">
        <is>
          <t>הערות</t>
        </is>
      </c>
    </row>
    <row r="2">
      <c r="A2" s="10" t="n"/>
      <c r="B2" s="7" t="n"/>
      <c r="C2" s="7" t="n"/>
      <c r="D2" s="7" t="n"/>
      <c r="E2" s="7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חומרה</t>
        </is>
      </c>
      <c r="E1" s="6" t="inlineStr">
        <is>
          <t>סטטוס</t>
        </is>
      </c>
      <c r="F1" s="6" t="inlineStr">
        <is>
          <t>פגישת מקור</t>
        </is>
      </c>
    </row>
    <row r="2">
      <c r="A2" s="9" t="n"/>
      <c r="B2" s="7" t="n"/>
      <c r="C2" s="8" t="n"/>
      <c r="D2" s="7" t="n"/>
      <c r="E2" s="7" t="n"/>
      <c r="F2" s="9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6" t="inlineStr">
        <is>
          <t>תאריך</t>
        </is>
      </c>
      <c r="B1" s="6" t="inlineStr">
        <is>
          <t>נושא</t>
        </is>
      </c>
      <c r="C1" s="6" t="inlineStr">
        <is>
          <t>משתתפים</t>
        </is>
      </c>
      <c r="D1" s="6" t="inlineStr">
        <is>
          <t>תיקייה</t>
        </is>
      </c>
      <c r="E1" s="6" t="inlineStr">
        <is>
          <t>פגישה הבאה</t>
        </is>
      </c>
      <c r="F1" s="6" t="inlineStr">
        <is>
          <t>הערות</t>
        </is>
      </c>
    </row>
    <row r="2">
      <c r="A2" s="9" t="n"/>
      <c r="B2" s="8" t="n"/>
      <c r="C2" s="8" t="n"/>
      <c r="D2" s="8" t="n"/>
      <c r="E2" s="9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גרסת תבנית</t>
        </is>
      </c>
      <c r="B1" t="inlineStr">
        <is>
          <t>1</t>
        </is>
      </c>
      <c r="D1" s="3" t="inlineStr">
        <is>
          <t>lst_topic</t>
        </is>
      </c>
      <c r="E1" s="3" t="inlineStr">
        <is>
          <t>lst_side</t>
        </is>
      </c>
      <c r="F1" s="3" t="inlineStr">
        <is>
          <t>lst_kind</t>
        </is>
      </c>
      <c r="G1" s="3" t="inlineStr">
        <is>
          <t>lst_freq</t>
        </is>
      </c>
      <c r="H1" s="3" t="inlineStr">
        <is>
          <t>lst_task_status</t>
        </is>
      </c>
      <c r="I1" s="3" t="inlineStr">
        <is>
          <t>lst_yesno</t>
        </is>
      </c>
      <c r="J1" s="3" t="inlineStr">
        <is>
          <t>lst_log_kind</t>
        </is>
      </c>
      <c r="K1" s="3" t="inlineStr">
        <is>
          <t>lst_open_status</t>
        </is>
      </c>
      <c r="L1" s="3" t="inlineStr">
        <is>
          <t>lst_goal_status</t>
        </is>
      </c>
      <c r="M1" s="3" t="inlineStr">
        <is>
          <t>lst_risk_kind</t>
        </is>
      </c>
      <c r="N1" s="3" t="inlineStr">
        <is>
          <t>lst_severity</t>
        </is>
      </c>
      <c r="O1" s="3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2026-10-11T06:39:31Z</dcterms:created>
  <dcterms:modified xmlns:dcterms="http://purl.org/dc/terms/" xmlns:xsi="http://www.w3.org/2001/XMLSchema-instance" xsi:type="dcterms:W3CDTF">2026-10-11T06:39:31Z</dcterms:modified>
</cp:coreProperties>
</file>