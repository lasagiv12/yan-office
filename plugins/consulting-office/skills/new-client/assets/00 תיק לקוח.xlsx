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לוח מצב" sheetId="1" state="visible" r:id="rId1"/>
    <sheet xmlns:r="http://schemas.openxmlformats.org/officeDocument/2006/relationships" name="משימות" sheetId="2" state="visible" r:id="rId2"/>
    <sheet xmlns:r="http://schemas.openxmlformats.org/officeDocument/2006/relationships" name="החלטות ועדכונים" sheetId="3" state="visible" r:id="rId3"/>
    <sheet xmlns:r="http://schemas.openxmlformats.org/officeDocument/2006/relationships" name="עקרונות והנחיות" sheetId="4" state="visible" r:id="rId4"/>
    <sheet xmlns:r="http://schemas.openxmlformats.org/officeDocument/2006/relationships" name="נושאים פתוחים" sheetId="5" state="visible" r:id="rId5"/>
    <sheet xmlns:r="http://schemas.openxmlformats.org/officeDocument/2006/relationships" name="יעדים" sheetId="6" state="visible" r:id="rId6"/>
    <sheet xmlns:r="http://schemas.openxmlformats.org/officeDocument/2006/relationships" name="מדדים" sheetId="7" state="visible" r:id="rId7"/>
    <sheet xmlns:r="http://schemas.openxmlformats.org/officeDocument/2006/relationships" name="סיכונים והזדמנויות" sheetId="8" state="visible" r:id="rId8"/>
    <sheet xmlns:r="http://schemas.openxmlformats.org/officeDocument/2006/relationships" name="פגישות" sheetId="9" state="visible" r:id="rId9"/>
    <sheet xmlns:r="http://schemas.openxmlformats.org/officeDocument/2006/relationships" name="רשימות" sheetId="10" state="visible" r:id="rId10"/>
  </sheets>
  <definedNames>
    <definedName name="lst_topic">'רשימות'!$D$2:$D$14</definedName>
    <definedName name="lst_side">'רשימות'!$E$2:$E$4</definedName>
    <definedName name="lst_kind">'רשימות'!$F$2:$F$3</definedName>
    <definedName name="lst_freq">'רשימות'!$G$2:$G$5</definedName>
    <definedName name="lst_task_status">'רשימות'!$H$2:$H$6</definedName>
    <definedName name="lst_yesno">'רשימות'!$I$2:$I$3</definedName>
    <definedName name="lst_log_kind">'רשימות'!$J$2:$J$3</definedName>
    <definedName name="lst_open_status">'רשימות'!$K$2:$K$3</definedName>
    <definedName name="lst_goal_status">'רשימות'!$L$2:$L$5</definedName>
    <definedName name="lst_risk_kind">'רשימות'!$M$2:$M$3</definedName>
    <definedName name="lst_severity">'רשימות'!$N$2:$N$4</definedName>
    <definedName name="lst_risk_status">'רשימות'!$O$2:$O$4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mm/yyyy"/>
  </numFmts>
  <fonts count="8">
    <font>
      <name val="Calibri"/>
      <family val="2"/>
      <color theme="1"/>
      <sz val="11"/>
      <scheme val="minor"/>
    </font>
    <font>
      <name val="Arial"/>
      <b val="1"/>
      <color rgb="000F5E63"/>
      <sz val="16"/>
    </font>
    <font>
      <name val="Arial"/>
      <i val="1"/>
      <color rgb="005B6670"/>
    </font>
    <font>
      <name val="Arial"/>
      <b val="1"/>
      <color rgb="000F5E63"/>
      <sz val="13"/>
    </font>
    <font>
      <name val="Arial"/>
      <b val="1"/>
    </font>
    <font>
      <name val="Arial"/>
      <sz val="12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5E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5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9" fontId="5" fillId="0" borderId="0" applyAlignment="1" pivotButton="0" quotePrefix="0" xfId="0">
      <alignment horizontal="center"/>
    </xf>
    <xf numFmtId="164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0" borderId="0" pivotButton="0" quotePrefix="0" xfId="0"/>
    <xf numFmtId="0" fontId="7" fillId="0" borderId="0" applyAlignment="1" pivotButton="0" quotePrefix="0" xfId="0">
      <alignment vertical="top" wrapText="1"/>
    </xf>
    <xf numFmtId="164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dxfs count="2">
    <dxf>
      <font>
        <color rgb="009C2B1E"/>
      </font>
      <fill>
        <patternFill patternType="solid">
          <fgColor rgb="00FBE3E0"/>
          <bgColor rgb="00FBE3E0"/>
        </patternFill>
      </fill>
    </dxf>
    <dxf>
      <font>
        <color rgb="008A939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ables/table1.xml><?xml version="1.0" encoding="utf-8"?>
<table xmlns="http://schemas.openxmlformats.org/spreadsheetml/2006/main" id="1" name="tblTasks" displayName="tblTasks" ref="A1:M2" headerRowCount="1">
  <autoFilter ref="A1:M2"/>
  <tableColumns count="13">
    <tableColumn id="1" name="מזהה"/>
    <tableColumn id="2" name="נושא ראשי"/>
    <tableColumn id="3" name="הנושא לטיפול"/>
    <tableColumn id="4" name="גורם מטפל"/>
    <tableColumn id="5" name="צד"/>
    <tableColumn id="6" name="סוג"/>
    <tableColumn id="7" name="תדירות"/>
    <tableColumn id="8" name="יעד לטיפול"/>
    <tableColumn id="9" name="סטטוס"/>
    <tableColumn id="10" name="תאריך סגירה"/>
    <tableColumn id="11" name="פגישת מקור"/>
    <tableColumn id="12" name="חסוי"/>
    <tableColumn id="13" name="הערות"/>
  </tableColumns>
  <tableStyleInfo name="TableStyleMedium2" showRowStripes="1"/>
</table>
</file>

<file path=xl/tables/table2.xml><?xml version="1.0" encoding="utf-8"?>
<table xmlns="http://schemas.openxmlformats.org/spreadsheetml/2006/main" id="2" name="tblLog" displayName="tblLog" ref="A1:G2" headerRowCount="1">
  <autoFilter ref="A1:G2"/>
  <tableColumns count="7">
    <tableColumn id="1" name="תאריך"/>
    <tableColumn id="2" name="סוג"/>
    <tableColumn id="3" name="תיאור"/>
    <tableColumn id="4" name="מי החליט"/>
    <tableColumn id="5" name="פגישת מקור"/>
    <tableColumn id="6" name="חסוי"/>
    <tableColumn id="7" name="הערות"/>
  </tableColumns>
  <tableStyleInfo name="TableStyleMedium2" showRowStripes="1"/>
</table>
</file>

<file path=xl/tables/table3.xml><?xml version="1.0" encoding="utf-8"?>
<table xmlns="http://schemas.openxmlformats.org/spreadsheetml/2006/main" id="3" name="tblPrinciples" displayName="tblPrinciples" ref="A1:F2" headerRowCount="1">
  <autoFilter ref="A1:F2"/>
  <tableColumns count="6">
    <tableColumn id="1" name="מזהה"/>
    <tableColumn id="2" name="עיקרון"/>
    <tableColumn id="3" name="מאז"/>
    <tableColumn id="4" name="פגישת מקור"/>
    <tableColumn id="5" name="בתוקף"/>
    <tableColumn id="6" name="הערות"/>
  </tableColumns>
  <tableStyleInfo name="TableStyleMedium2" showRowStripes="1"/>
</table>
</file>

<file path=xl/tables/table4.xml><?xml version="1.0" encoding="utf-8"?>
<table xmlns="http://schemas.openxmlformats.org/spreadsheetml/2006/main" id="4" name="tblOpen" displayName="tblOpen" ref="A1:G2" headerRowCount="1">
  <autoFilter ref="A1:G2"/>
  <tableColumns count="7">
    <tableColumn id="1" name="מזהה"/>
    <tableColumn id="2" name="נושא"/>
    <tableColumn id="3" name="עלה לראשונה"/>
    <tableColumn id="4" name="תאריך החלטה צפוי"/>
    <tableColumn id="5" name="סטטוס"/>
    <tableColumn id="6" name="פגישת מקור"/>
    <tableColumn id="7" name="הערות"/>
  </tableColumns>
  <tableStyleInfo name="TableStyleMedium2" showRowStripes="1"/>
</table>
</file>

<file path=xl/tables/table5.xml><?xml version="1.0" encoding="utf-8"?>
<table xmlns="http://schemas.openxmlformats.org/spreadsheetml/2006/main" id="5" name="tblGoals" displayName="tblGoals" ref="A1:F2" headerRowCount="1">
  <autoFilter ref="A1:F2"/>
  <tableColumns count="6">
    <tableColumn id="1" name="יעד"/>
    <tableColumn id="2" name="מדד"/>
    <tableColumn id="3" name="ערך יעד"/>
    <tableColumn id="4" name="תאריך יעד"/>
    <tableColumn id="5" name="סטטוס"/>
    <tableColumn id="6" name="הערות"/>
  </tableColumns>
  <tableStyleInfo name="TableStyleMedium2" showRowStripes="1"/>
</table>
</file>

<file path=xl/tables/table6.xml><?xml version="1.0" encoding="utf-8"?>
<table xmlns="http://schemas.openxmlformats.org/spreadsheetml/2006/main" id="6" name="tblMetrics" displayName="tblMetrics" ref="A1:F2" headerRowCount="1">
  <autoFilter ref="A1:F2"/>
  <tableColumns count="6">
    <tableColumn id="1" name="חודש"/>
    <tableColumn id="2" name="מדד"/>
    <tableColumn id="3" name="ערך"/>
    <tableColumn id="4" name="יחידה"/>
    <tableColumn id="5" name="קובץ מקור"/>
    <tableColumn id="6" name="הערות"/>
  </tableColumns>
  <tableStyleInfo name="TableStyleMedium2" showRowStripes="1"/>
</table>
</file>

<file path=xl/tables/table7.xml><?xml version="1.0" encoding="utf-8"?>
<table xmlns="http://schemas.openxmlformats.org/spreadsheetml/2006/main" id="7" name="tblRisks" displayName="tblRisks" ref="A1:F2" headerRowCount="1">
  <autoFilter ref="A1:F2"/>
  <tableColumns count="6">
    <tableColumn id="1" name="תאריך"/>
    <tableColumn id="2" name="סוג"/>
    <tableColumn id="3" name="תיאור"/>
    <tableColumn id="4" name="חומרה"/>
    <tableColumn id="5" name="סטטוס"/>
    <tableColumn id="6" name="פגישת מקור"/>
  </tableColumns>
  <tableStyleInfo name="TableStyleMedium2" showRowStripes="1"/>
</table>
</file>

<file path=xl/tables/table8.xml><?xml version="1.0" encoding="utf-8"?>
<table xmlns="http://schemas.openxmlformats.org/spreadsheetml/2006/main" id="8" name="tblMeetings" displayName="tblMeetings" ref="A1:F2" headerRowCount="1">
  <autoFilter ref="A1:F2"/>
  <tableColumns count="6">
    <tableColumn id="1" name="תאריך"/>
    <tableColumn id="2" name="נושא"/>
    <tableColumn id="3" name="משתתפים"/>
    <tableColumn id="4" name="תיקייה"/>
    <tableColumn id="5" name="פגישה הבאה"/>
    <tableColumn id="6" name="הערות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rightToLeft="1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לוח מצב</t>
        </is>
      </c>
    </row>
    <row r="2">
      <c r="A2" s="2" t="inlineStr">
        <is>
          <t>מחושב אוטומטית מהטבלאות. לא כותבים כאן.</t>
        </is>
      </c>
    </row>
    <row r="4">
      <c r="A4" s="3" t="inlineStr">
        <is>
          <t>התקדמות במשימות</t>
        </is>
      </c>
    </row>
    <row r="5">
      <c r="A5" s="4" t="inlineStr">
        <is>
          <t>אחוז השלמה</t>
        </is>
      </c>
      <c r="B5" s="5">
        <f>IF(B8=0,"",B6/B8)</f>
        <v/>
      </c>
    </row>
    <row r="6">
      <c r="A6" s="4" t="inlineStr">
        <is>
          <t>הושלמו</t>
        </is>
      </c>
      <c r="B6" s="6">
        <f>COUNTIFS(tblTasks[סוג],"&lt;&gt;שוטפת",tblTasks[סטטוס],"בוצעה")</f>
        <v/>
      </c>
    </row>
    <row r="7">
      <c r="A7" s="4" t="inlineStr">
        <is>
          <t>נשארו</t>
        </is>
      </c>
      <c r="B7" s="6">
        <f>B8-B6</f>
        <v/>
      </c>
    </row>
    <row r="8">
      <c r="A8" s="4" t="inlineStr">
        <is>
          <t>סך הכל משימות</t>
        </is>
      </c>
      <c r="B8" s="6">
        <f>COUNTIFS(tblTasks[סוג],"&lt;&gt;שוטפת",tblTasks[סטטוס],"&lt;&gt;")-COUNTIFS(tblTasks[סוג],"&lt;&gt;שוטפת",tblTasks[סטטוס],"בוטלה")</f>
        <v/>
      </c>
    </row>
    <row r="9">
      <c r="A9" s="4" t="inlineStr">
        <is>
          <t>מתוך מה שנשאר: באיחור</t>
        </is>
      </c>
      <c r="B9" s="6">
        <f>COUNTIFS(tblTasks[סוג],"&lt;&gt;שוטפת",tblTasks[סטטוס],"פתוחה",tblTasks[יעד לטיפול],"&lt;"&amp;TODAY())+COUNTIFS(tblTasks[סוג],"&lt;&gt;שוטפת",tblTasks[סטטוס],"בטיפול",tblTasks[יעד לטיפול],"&lt;"&amp;TODAY())</f>
        <v/>
      </c>
    </row>
    <row r="10">
      <c r="A10" s="2" t="inlineStr">
        <is>
          <t>משימות חד-פעמיות, בלי מה שבוטל. משימה שוטפת לא נסגרת, ולכן היא בנפרד.</t>
        </is>
      </c>
    </row>
    <row r="12">
      <c r="A12" s="3" t="inlineStr">
        <is>
          <t>משימות שוטפות</t>
        </is>
      </c>
    </row>
    <row r="13">
      <c r="A13" s="4" t="inlineStr">
        <is>
          <t>פעילות</t>
        </is>
      </c>
      <c r="B13" s="6">
        <f>COUNTIFS(tblTasks[סוג],"שוטפת",tblTasks[סטטוס],"פתוחה")+COUNTIFS(tblTasks[סוג],"שוטפת",tblTasks[סטטוס],"בטיפול")</f>
        <v/>
      </c>
    </row>
    <row r="14">
      <c r="A14" s="4" t="inlineStr">
        <is>
          <t>בזמן</t>
        </is>
      </c>
      <c r="B14" s="6">
        <f>B13-B15</f>
        <v/>
      </c>
    </row>
    <row r="15">
      <c r="A15" s="4" t="inlineStr">
        <is>
          <t>באיחור</t>
        </is>
      </c>
      <c r="B15" s="6">
        <f>COUNTIFS(tblTasks[סוג],"שוטפת",tblTasks[סטטוס],"פתוחה",tblTasks[יעד לטיפול],"&lt;"&amp;TODAY())+COUNTIFS(tblTasks[סוג],"שוטפת",tblTasks[סטטוס],"בטיפול",tblTasks[יעד לטיפול],"&lt;"&amp;TODAY())</f>
        <v/>
      </c>
    </row>
    <row r="17">
      <c r="A17" s="3" t="inlineStr">
        <is>
          <t>התקדמות לפי צד</t>
        </is>
      </c>
    </row>
    <row r="18">
      <c r="A18" s="7" t="inlineStr">
        <is>
          <t>צד</t>
        </is>
      </c>
      <c r="B18" s="7" t="inlineStr">
        <is>
          <t>הושלמו</t>
        </is>
      </c>
      <c r="C18" s="7" t="inlineStr">
        <is>
          <t>נשארו</t>
        </is>
      </c>
      <c r="D18" s="7" t="inlineStr">
        <is>
          <t>באיחור</t>
        </is>
      </c>
      <c r="E18" s="7" t="inlineStr">
        <is>
          <t>אחוז השלמה</t>
        </is>
      </c>
    </row>
    <row r="19">
      <c r="A19" s="4" t="inlineStr">
        <is>
          <t>לקוח</t>
        </is>
      </c>
      <c r="B19" s="8">
        <f>COUNTIFS(tblTasks[צד],$A19,tblTasks[סוג],"&lt;&gt;שוטפת",tblTasks[סטטוס],"בוצעה")</f>
        <v/>
      </c>
      <c r="C19" s="8">
        <f>COUNTIFS(tblTasks[צד],$A19,tblTasks[סוג],"&lt;&gt;שוטפת",tblTasks[סטטוס],"&lt;&gt;")-COUNTIFS(tblTasks[צד],$A19,tblTasks[סוג],"&lt;&gt;שוטפת",tblTasks[סטטוס],"בוטלה")-B19</f>
        <v/>
      </c>
      <c r="D19" s="8">
        <f>COUNTIFS(tblTasks[צד],$A19,tblTasks[סוג],"&lt;&gt;שוטפת",tblTasks[סטטוס],"פתוחה",tblTasks[יעד לטיפול],"&lt;"&amp;TODAY())+COUNTIFS(tblTasks[צד],$A19,tblTasks[סוג],"&lt;&gt;שוטפת",tblTasks[סטטוס],"בטיפול",tblTasks[יעד לטיפול],"&lt;"&amp;TODAY())</f>
        <v/>
      </c>
      <c r="E19" s="9">
        <f>IF(B19+C19=0,"",B19/(B19+C19))</f>
        <v/>
      </c>
    </row>
    <row r="20">
      <c r="A20" s="4" t="inlineStr">
        <is>
          <t>יאן</t>
        </is>
      </c>
      <c r="B20" s="8">
        <f>COUNTIFS(tblTasks[צד],$A20,tblTasks[סוג],"&lt;&gt;שוטפת",tblTasks[סטטוס],"בוצעה")</f>
        <v/>
      </c>
      <c r="C20" s="8">
        <f>COUNTIFS(tblTasks[צד],$A20,tblTasks[סוג],"&lt;&gt;שוטפת",tblTasks[סטטוס],"&lt;&gt;")-COUNTIFS(tblTasks[צד],$A20,tblTasks[סוג],"&lt;&gt;שוטפת",tblTasks[סטטוס],"בוטלה")-B20</f>
        <v/>
      </c>
      <c r="D20" s="8">
        <f>COUNTIFS(tblTasks[צד],$A20,tblTasks[סוג],"&lt;&gt;שוטפת",tblTasks[סטטוס],"פתוחה",tblTasks[יעד לטיפול],"&lt;"&amp;TODAY())+COUNTIFS(tblTasks[צד],$A20,tblTasks[סוג],"&lt;&gt;שוטפת",tblTasks[סטטוס],"בטיפול",tblTasks[יעד לטיפול],"&lt;"&amp;TODAY())</f>
        <v/>
      </c>
      <c r="E20" s="9">
        <f>IF(B20+C20=0,"",B20/(B20+C20))</f>
        <v/>
      </c>
    </row>
    <row r="21">
      <c r="A21" s="4" t="inlineStr">
        <is>
          <t>גורם חוץ</t>
        </is>
      </c>
      <c r="B21" s="8">
        <f>COUNTIFS(tblTasks[צד],$A21,tblTasks[סוג],"&lt;&gt;שוטפת",tblTasks[סטטוס],"בוצעה")</f>
        <v/>
      </c>
      <c r="C21" s="8">
        <f>COUNTIFS(tblTasks[צד],$A21,tblTasks[סוג],"&lt;&gt;שוטפת",tblTasks[סטטוס],"&lt;&gt;")-COUNTIFS(tblTasks[צד],$A21,tblTasks[סוג],"&lt;&gt;שוטפת",tblTasks[סטטוס],"בוטלה")-B21</f>
        <v/>
      </c>
      <c r="D21" s="8">
        <f>COUNTIFS(tblTasks[צד],$A21,tblTasks[סוג],"&lt;&gt;שוטפת",tblTasks[סטטוס],"פתוחה",tblTasks[יעד לטיפול],"&lt;"&amp;TODAY())+COUNTIFS(tblTasks[צד],$A21,tblTasks[סוג],"&lt;&gt;שוטפת",tblTasks[סטטוס],"בטיפול",tblTasks[יעד לטיפול],"&lt;"&amp;TODAY())</f>
        <v/>
      </c>
      <c r="E21" s="9">
        <f>IF(B21+C21=0,"",B21/(B21+C21))</f>
        <v/>
      </c>
    </row>
    <row r="23">
      <c r="A23" s="3" t="inlineStr">
        <is>
          <t>כללי</t>
        </is>
      </c>
    </row>
    <row r="24">
      <c r="A24" s="4" t="inlineStr">
        <is>
          <t>משימות פתוחות (כולל שוטפות)</t>
        </is>
      </c>
      <c r="B24" s="6">
        <f>COUNTIFS(tblTasks[סטטוס],"פתוחה")+COUNTIFS(tblTasks[סטטוס],"בטיפול")</f>
        <v/>
      </c>
    </row>
    <row r="25">
      <c r="A25" s="4" t="inlineStr">
        <is>
          <t>משימות באיחור (כולל שוטפות)</t>
        </is>
      </c>
      <c r="B25" s="6">
        <f>COUNTIFS(tblTasks[סטטוס],"פתוחה",tblTasks[יעד לטיפול],"&lt;"&amp;TODAY())+COUNTIFS(tblTasks[סטטוס],"בטיפול",tblTasks[יעד לטיפול],"&lt;"&amp;TODAY())</f>
        <v/>
      </c>
    </row>
    <row r="26">
      <c r="A26" s="4" t="inlineStr">
        <is>
          <t>משימות פתוחות של יאן</t>
        </is>
      </c>
      <c r="B26" s="6">
        <f>COUNTIFS(tblTasks[צד],"יאן",tblTasks[סטטוס],"פתוחה")+COUNTIFS(tblTasks[צד],"יאן",tblTasks[סטטוס],"בטיפול")</f>
        <v/>
      </c>
    </row>
    <row r="27">
      <c r="A27" s="4" t="inlineStr">
        <is>
          <t>נושאים פתוחים</t>
        </is>
      </c>
      <c r="B27" s="6">
        <f>COUNTIFS(tblOpen[סטטוס],"פתוח")</f>
        <v/>
      </c>
    </row>
    <row r="28">
      <c r="A28" s="4" t="inlineStr">
        <is>
          <t>עקרונות בתוקף</t>
        </is>
      </c>
      <c r="B28" s="6">
        <f>COUNTIFS(tblPrinciples[בתוקף],"כן")</f>
        <v/>
      </c>
    </row>
    <row r="29">
      <c r="A29" s="4" t="inlineStr">
        <is>
          <t>פגישה אחרונה</t>
        </is>
      </c>
      <c r="B29" s="10">
        <f>IF(COUNT(tblMeetings[תאריך])=0,"",MAX(tblMeetings[תאריך]))</f>
        <v/>
      </c>
    </row>
    <row r="30">
      <c r="A30" s="4" t="inlineStr">
        <is>
          <t>פגישה הבאה</t>
        </is>
      </c>
      <c r="B30" s="10">
        <f>IF(COUNT(tblMeetings[פגישה הבאה])=0,"",MAX(tblMeetings[פגישה הבאה]))</f>
        <v/>
      </c>
    </row>
  </sheetData>
  <conditionalFormatting sqref="B5">
    <cfRule type="dataBar" priority="1">
      <dataBar showValue="1">
        <cfvo type="num" val="0"/>
        <cfvo type="num" val="1"/>
        <color rgb="000F5E63"/>
      </dataBar>
    </cfRule>
  </conditionalFormatting>
  <conditionalFormatting sqref="E19:E21">
    <cfRule type="dataBar" priority="1">
      <dataBar showValue="1">
        <cfvo type="num" val="0"/>
        <cfvo type="num" val="1"/>
        <color rgb="000F5E63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42" customWidth="1" min="13" max="13"/>
  </cols>
  <sheetData>
    <row r="1">
      <c r="A1" s="11" t="inlineStr">
        <is>
          <t>מזהה</t>
        </is>
      </c>
      <c r="B1" s="11" t="inlineStr">
        <is>
          <t>נושא ראשי</t>
        </is>
      </c>
      <c r="C1" s="11" t="inlineStr">
        <is>
          <t>הנושא לטיפול</t>
        </is>
      </c>
      <c r="D1" s="11" t="inlineStr">
        <is>
          <t>גורם מטפל</t>
        </is>
      </c>
      <c r="E1" s="11" t="inlineStr">
        <is>
          <t>צד</t>
        </is>
      </c>
      <c r="F1" s="11" t="inlineStr">
        <is>
          <t>סוג</t>
        </is>
      </c>
      <c r="G1" s="11" t="inlineStr">
        <is>
          <t>תדירות</t>
        </is>
      </c>
      <c r="H1" s="11" t="inlineStr">
        <is>
          <t>יעד לטיפול</t>
        </is>
      </c>
      <c r="I1" s="11" t="inlineStr">
        <is>
          <t>סטטוס</t>
        </is>
      </c>
      <c r="J1" s="11" t="inlineStr">
        <is>
          <t>תאריך סגירה</t>
        </is>
      </c>
      <c r="K1" s="11" t="inlineStr">
        <is>
          <t>פגישת מקור</t>
        </is>
      </c>
      <c r="L1" s="11" t="inlineStr">
        <is>
          <t>חסוי</t>
        </is>
      </c>
      <c r="M1" s="11" t="inlineStr">
        <is>
          <t>הערות</t>
        </is>
      </c>
    </row>
    <row r="2">
      <c r="A2" s="12" t="n"/>
      <c r="B2" s="12" t="n"/>
      <c r="C2" s="13" t="n"/>
      <c r="D2" s="12" t="n"/>
      <c r="E2" s="12" t="n"/>
      <c r="F2" s="12" t="n"/>
      <c r="G2" s="12" t="n"/>
      <c r="H2" s="14" t="n"/>
      <c r="I2" s="12" t="n"/>
      <c r="J2" s="14" t="n"/>
      <c r="K2" s="14" t="n"/>
      <c r="L2" s="12" t="n"/>
      <c r="M2" s="13" t="n"/>
    </row>
  </sheetData>
  <conditionalFormatting sqref="A2:M2000">
    <cfRule type="expression" priority="1" dxfId="0" stopIfTrue="1">
      <formula>AND(OR($I2="פתוחה",$I2="בטיפול"),ISNUMBER($H2),$H2&lt;TODAY())</formula>
    </cfRule>
    <cfRule type="expression" priority="2" dxfId="1">
      <formula>OR($I2="בוצעה",$I2="בוטלה")</formula>
    </cfRule>
  </conditionalFormatting>
  <dataValidations count="6">
    <dataValidation sqref="B2:B2000" showDropDown="0" showInputMessage="0" showErrorMessage="1" allowBlank="1" errorTitle="ערך לא ברשימה" error="בחר ערך מהרשימה הנפתחת" type="list">
      <formula1>=lst_topic</formula1>
    </dataValidation>
    <dataValidation sqref="E2:E2000" showDropDown="0" showInputMessage="0" showErrorMessage="1" allowBlank="1" errorTitle="ערך לא ברשימה" error="בחר ערך מהרשימה הנפתחת" type="list">
      <formula1>=lst_side</formula1>
    </dataValidation>
    <dataValidation sqref="F2:F2000" showDropDown="0" showInputMessage="0" showErrorMessage="1" allowBlank="1" errorTitle="ערך לא ברשימה" error="בחר ערך מהרשימה הנפתחת" type="list">
      <formula1>=lst_kind</formula1>
    </dataValidation>
    <dataValidation sqref="G2:G2000" showDropDown="0" showInputMessage="0" showErrorMessage="1" allowBlank="1" errorTitle="ערך לא ברשימה" error="בחר ערך מהרשימה הנפתחת" type="list">
      <formula1>=lst_freq</formula1>
    </dataValidation>
    <dataValidation sqref="I2:I2000" showDropDown="0" showInputMessage="0" showErrorMessage="1" allowBlank="1" errorTitle="ערך לא ברשימה" error="בחר ערך מהרשימה הנפתחת" type="list">
      <formula1>=lst_task_status</formula1>
    </dataValidation>
    <dataValidation sqref="L2:L2000" showDropDown="0" showInputMessage="0" showErrorMessage="1" allowBlank="1" errorTitle="ערך לא ברשימה" error="בחר ערך מהרשימה הנפתחת" type="list">
      <formula1>=lst_yesno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15" customWidth="1" min="4" max="4"/>
    <col width="15" customWidth="1" min="5" max="5"/>
    <col width="15" customWidth="1" min="6" max="6"/>
    <col width="42" customWidth="1" min="7" max="7"/>
  </cols>
  <sheetData>
    <row r="1">
      <c r="A1" s="11" t="inlineStr">
        <is>
          <t>תאריך</t>
        </is>
      </c>
      <c r="B1" s="11" t="inlineStr">
        <is>
          <t>סוג</t>
        </is>
      </c>
      <c r="C1" s="11" t="inlineStr">
        <is>
          <t>תיאור</t>
        </is>
      </c>
      <c r="D1" s="11" t="inlineStr">
        <is>
          <t>מי החליט</t>
        </is>
      </c>
      <c r="E1" s="11" t="inlineStr">
        <is>
          <t>פגישת מקור</t>
        </is>
      </c>
      <c r="F1" s="11" t="inlineStr">
        <is>
          <t>חסוי</t>
        </is>
      </c>
      <c r="G1" s="11" t="inlineStr">
        <is>
          <t>הערות</t>
        </is>
      </c>
    </row>
    <row r="2">
      <c r="A2" s="14" t="n"/>
      <c r="B2" s="12" t="n"/>
      <c r="C2" s="13" t="n"/>
      <c r="D2" s="12" t="n"/>
      <c r="E2" s="14" t="n"/>
      <c r="F2" s="12" t="n"/>
      <c r="G2" s="13" t="n"/>
    </row>
  </sheetData>
  <dataValidations count="2">
    <dataValidation sqref="B2:B2000" showDropDown="0" showInputMessage="0" showErrorMessage="1" allowBlank="1" errorTitle="ערך לא ברשימה" error="בחר ערך מהרשימה הנפתחת" type="list">
      <formula1>=lst_log_kind</formula1>
    </dataValidation>
    <dataValidation sqref="F2:F2000" showDropDown="0" showInputMessage="0" showErrorMessage="1" allowBlank="1" errorTitle="ערך לא ברשימה" error="בחר ערך מהרשימה הנפתחת" type="list">
      <formula1>=lst_yesno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>
      <c r="A1" s="11" t="inlineStr">
        <is>
          <t>מזהה</t>
        </is>
      </c>
      <c r="B1" s="11" t="inlineStr">
        <is>
          <t>עיקרון</t>
        </is>
      </c>
      <c r="C1" s="11" t="inlineStr">
        <is>
          <t>מאז</t>
        </is>
      </c>
      <c r="D1" s="11" t="inlineStr">
        <is>
          <t>פגישת מקור</t>
        </is>
      </c>
      <c r="E1" s="11" t="inlineStr">
        <is>
          <t>בתוקף</t>
        </is>
      </c>
      <c r="F1" s="11" t="inlineStr">
        <is>
          <t>הערות</t>
        </is>
      </c>
    </row>
    <row r="2">
      <c r="A2" s="12" t="n"/>
      <c r="B2" s="13" t="n"/>
      <c r="C2" s="14" t="n"/>
      <c r="D2" s="14" t="n"/>
      <c r="E2" s="12" t="n"/>
      <c r="F2" s="13" t="n"/>
    </row>
  </sheetData>
  <dataValidations count="1">
    <dataValidation sqref="E2:E2000" showDropDown="0" showInputMessage="0" showErrorMessage="1" allowBlank="1" errorTitle="ערך לא ברשימה" error="בחר ערך מהרשימה הנפתחת" type="list">
      <formula1>=lst_yesno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15" customWidth="1" min="3" max="3"/>
    <col width="15" customWidth="1" min="4" max="4"/>
    <col width="15" customWidth="1" min="5" max="5"/>
    <col width="15" customWidth="1" min="6" max="6"/>
    <col width="42" customWidth="1" min="7" max="7"/>
  </cols>
  <sheetData>
    <row r="1">
      <c r="A1" s="11" t="inlineStr">
        <is>
          <t>מזהה</t>
        </is>
      </c>
      <c r="B1" s="11" t="inlineStr">
        <is>
          <t>נושא</t>
        </is>
      </c>
      <c r="C1" s="11" t="inlineStr">
        <is>
          <t>עלה לראשונה</t>
        </is>
      </c>
      <c r="D1" s="11" t="inlineStr">
        <is>
          <t>תאריך החלטה צפוי</t>
        </is>
      </c>
      <c r="E1" s="11" t="inlineStr">
        <is>
          <t>סטטוס</t>
        </is>
      </c>
      <c r="F1" s="11" t="inlineStr">
        <is>
          <t>פגישת מקור</t>
        </is>
      </c>
      <c r="G1" s="11" t="inlineStr">
        <is>
          <t>הערות</t>
        </is>
      </c>
    </row>
    <row r="2">
      <c r="A2" s="12" t="n"/>
      <c r="B2" s="13" t="n"/>
      <c r="C2" s="14" t="n"/>
      <c r="D2" s="14" t="n"/>
      <c r="E2" s="12" t="n"/>
      <c r="F2" s="14" t="n"/>
      <c r="G2" s="13" t="n"/>
    </row>
  </sheetData>
  <dataValidations count="1">
    <dataValidation sqref="E2:E2000" showDropDown="0" showInputMessage="0" showErrorMessage="1" allowBlank="1" errorTitle="ערך לא ברשימה" error="בחר ערך מהרשימה הנפתחת" type="list">
      <formula1>=lst_open_status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5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>
      <c r="A1" s="11" t="inlineStr">
        <is>
          <t>יעד</t>
        </is>
      </c>
      <c r="B1" s="11" t="inlineStr">
        <is>
          <t>מדד</t>
        </is>
      </c>
      <c r="C1" s="11" t="inlineStr">
        <is>
          <t>ערך יעד</t>
        </is>
      </c>
      <c r="D1" s="11" t="inlineStr">
        <is>
          <t>תאריך יעד</t>
        </is>
      </c>
      <c r="E1" s="11" t="inlineStr">
        <is>
          <t>סטטוס</t>
        </is>
      </c>
      <c r="F1" s="11" t="inlineStr">
        <is>
          <t>הערות</t>
        </is>
      </c>
    </row>
    <row r="2">
      <c r="A2" s="13" t="n"/>
      <c r="B2" s="12" t="n"/>
      <c r="C2" s="12" t="n"/>
      <c r="D2" s="14" t="n"/>
      <c r="E2" s="12" t="n"/>
      <c r="F2" s="13" t="n"/>
    </row>
  </sheetData>
  <dataValidations count="1">
    <dataValidation sqref="E2:E2000" showDropDown="0" showInputMessage="0" showErrorMessage="1" allowBlank="1" errorTitle="ערך לא ברשימה" error="בחר ערך מהרשימה הנפתחת" type="list">
      <formula1>=lst_goal_status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42" customWidth="1" min="6" max="6"/>
  </cols>
  <sheetData>
    <row r="1">
      <c r="A1" s="11" t="inlineStr">
        <is>
          <t>חודש</t>
        </is>
      </c>
      <c r="B1" s="11" t="inlineStr">
        <is>
          <t>מדד</t>
        </is>
      </c>
      <c r="C1" s="11" t="inlineStr">
        <is>
          <t>ערך</t>
        </is>
      </c>
      <c r="D1" s="11" t="inlineStr">
        <is>
          <t>יחידה</t>
        </is>
      </c>
      <c r="E1" s="11" t="inlineStr">
        <is>
          <t>קובץ מקור</t>
        </is>
      </c>
      <c r="F1" s="11" t="inlineStr">
        <is>
          <t>הערות</t>
        </is>
      </c>
    </row>
    <row r="2">
      <c r="A2" s="15" t="n"/>
      <c r="B2" s="12" t="n"/>
      <c r="C2" s="12" t="n"/>
      <c r="D2" s="12" t="n"/>
      <c r="E2" s="12" t="n"/>
      <c r="F2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42" customWidth="1" min="3" max="3"/>
    <col width="15" customWidth="1" min="4" max="4"/>
    <col width="15" customWidth="1" min="5" max="5"/>
    <col width="15" customWidth="1" min="6" max="6"/>
  </cols>
  <sheetData>
    <row r="1">
      <c r="A1" s="11" t="inlineStr">
        <is>
          <t>תאריך</t>
        </is>
      </c>
      <c r="B1" s="11" t="inlineStr">
        <is>
          <t>סוג</t>
        </is>
      </c>
      <c r="C1" s="11" t="inlineStr">
        <is>
          <t>תיאור</t>
        </is>
      </c>
      <c r="D1" s="11" t="inlineStr">
        <is>
          <t>חומרה</t>
        </is>
      </c>
      <c r="E1" s="11" t="inlineStr">
        <is>
          <t>סטטוס</t>
        </is>
      </c>
      <c r="F1" s="11" t="inlineStr">
        <is>
          <t>פגישת מקור</t>
        </is>
      </c>
    </row>
    <row r="2">
      <c r="A2" s="14" t="n"/>
      <c r="B2" s="12" t="n"/>
      <c r="C2" s="13" t="n"/>
      <c r="D2" s="12" t="n"/>
      <c r="E2" s="12" t="n"/>
      <c r="F2" s="14" t="n"/>
    </row>
  </sheetData>
  <dataValidations count="3">
    <dataValidation sqref="B2:B2000" showDropDown="0" showInputMessage="0" showErrorMessage="1" allowBlank="1" errorTitle="ערך לא ברשימה" error="בחר ערך מהרשימה הנפתחת" type="list">
      <formula1>=lst_risk_kind</formula1>
    </dataValidation>
    <dataValidation sqref="D2:D2000" showDropDown="0" showInputMessage="0" showErrorMessage="1" allowBlank="1" errorTitle="ערך לא ברשימה" error="בחר ערך מהרשימה הנפתחת" type="list">
      <formula1>=lst_severity</formula1>
    </dataValidation>
    <dataValidation sqref="E2:E2000" showDropDown="0" showInputMessage="0" showErrorMessage="1" allowBlank="1" errorTitle="ערך לא ברשימה" error="בחר ערך מהרשימה הנפתחת" type="list">
      <formula1>=lst_risk_status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2" customWidth="1" min="2" max="2"/>
    <col width="42" customWidth="1" min="3" max="3"/>
    <col width="42" customWidth="1" min="4" max="4"/>
    <col width="15" customWidth="1" min="5" max="5"/>
    <col width="42" customWidth="1" min="6" max="6"/>
  </cols>
  <sheetData>
    <row r="1">
      <c r="A1" s="11" t="inlineStr">
        <is>
          <t>תאריך</t>
        </is>
      </c>
      <c r="B1" s="11" t="inlineStr">
        <is>
          <t>נושא</t>
        </is>
      </c>
      <c r="C1" s="11" t="inlineStr">
        <is>
          <t>משתתפים</t>
        </is>
      </c>
      <c r="D1" s="11" t="inlineStr">
        <is>
          <t>תיקייה</t>
        </is>
      </c>
      <c r="E1" s="11" t="inlineStr">
        <is>
          <t>פגישה הבאה</t>
        </is>
      </c>
      <c r="F1" s="11" t="inlineStr">
        <is>
          <t>הערות</t>
        </is>
      </c>
    </row>
    <row r="2">
      <c r="A2" s="14" t="n"/>
      <c r="B2" s="13" t="n"/>
      <c r="C2" s="13" t="n"/>
      <c r="D2" s="13" t="n"/>
      <c r="E2" s="14" t="n"/>
      <c r="F2" s="13" t="n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4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4" t="inlineStr">
        <is>
          <t>גרסת תבנית</t>
        </is>
      </c>
      <c r="B1" t="inlineStr">
        <is>
          <t>2</t>
        </is>
      </c>
      <c r="D1" s="4" t="inlineStr">
        <is>
          <t>lst_topic</t>
        </is>
      </c>
      <c r="E1" s="4" t="inlineStr">
        <is>
          <t>lst_side</t>
        </is>
      </c>
      <c r="F1" s="4" t="inlineStr">
        <is>
          <t>lst_kind</t>
        </is>
      </c>
      <c r="G1" s="4" t="inlineStr">
        <is>
          <t>lst_freq</t>
        </is>
      </c>
      <c r="H1" s="4" t="inlineStr">
        <is>
          <t>lst_task_status</t>
        </is>
      </c>
      <c r="I1" s="4" t="inlineStr">
        <is>
          <t>lst_yesno</t>
        </is>
      </c>
      <c r="J1" s="4" t="inlineStr">
        <is>
          <t>lst_log_kind</t>
        </is>
      </c>
      <c r="K1" s="4" t="inlineStr">
        <is>
          <t>lst_open_status</t>
        </is>
      </c>
      <c r="L1" s="4" t="inlineStr">
        <is>
          <t>lst_goal_status</t>
        </is>
      </c>
      <c r="M1" s="4" t="inlineStr">
        <is>
          <t>lst_risk_kind</t>
        </is>
      </c>
      <c r="N1" s="4" t="inlineStr">
        <is>
          <t>lst_severity</t>
        </is>
      </c>
      <c r="O1" s="4" t="inlineStr">
        <is>
          <t>lst_risk_status</t>
        </is>
      </c>
    </row>
    <row r="2">
      <c r="D2" t="inlineStr">
        <is>
          <t>שיווק</t>
        </is>
      </c>
      <c r="E2" t="inlineStr">
        <is>
          <t>לקוח</t>
        </is>
      </c>
      <c r="F2" t="inlineStr">
        <is>
          <t>חד-פעמית</t>
        </is>
      </c>
      <c r="G2" t="inlineStr">
        <is>
          <t>שבועי</t>
        </is>
      </c>
      <c r="H2" t="inlineStr">
        <is>
          <t>פתוחה</t>
        </is>
      </c>
      <c r="I2" t="inlineStr">
        <is>
          <t>כן</t>
        </is>
      </c>
      <c r="J2" t="inlineStr">
        <is>
          <t>החלטה</t>
        </is>
      </c>
      <c r="K2" t="inlineStr">
        <is>
          <t>פתוח</t>
        </is>
      </c>
      <c r="L2" t="inlineStr">
        <is>
          <t>בדרך</t>
        </is>
      </c>
      <c r="M2" t="inlineStr">
        <is>
          <t>סיכון</t>
        </is>
      </c>
      <c r="N2" t="inlineStr">
        <is>
          <t>נמוכה</t>
        </is>
      </c>
      <c r="O2" t="inlineStr">
        <is>
          <t>פתוח</t>
        </is>
      </c>
    </row>
    <row r="3">
      <c r="D3" t="inlineStr">
        <is>
          <t>מכירות</t>
        </is>
      </c>
      <c r="E3" t="inlineStr">
        <is>
          <t>יאן</t>
        </is>
      </c>
      <c r="F3" t="inlineStr">
        <is>
          <t>שוטפת</t>
        </is>
      </c>
      <c r="G3" t="inlineStr">
        <is>
          <t>דו-שבועי</t>
        </is>
      </c>
      <c r="H3" t="inlineStr">
        <is>
          <t>בטיפול</t>
        </is>
      </c>
      <c r="I3" t="inlineStr">
        <is>
          <t>לא</t>
        </is>
      </c>
      <c r="J3" t="inlineStr">
        <is>
          <t>עדכון</t>
        </is>
      </c>
      <c r="K3" t="inlineStr">
        <is>
          <t>נסגר</t>
        </is>
      </c>
      <c r="L3" t="inlineStr">
        <is>
          <t>הושג</t>
        </is>
      </c>
      <c r="M3" t="inlineStr">
        <is>
          <t>הזדמנות</t>
        </is>
      </c>
      <c r="N3" t="inlineStr">
        <is>
          <t>בינונית</t>
        </is>
      </c>
      <c r="O3" t="inlineStr">
        <is>
          <t>בטיפול</t>
        </is>
      </c>
    </row>
    <row r="4">
      <c r="D4" t="inlineStr">
        <is>
          <t>כספים</t>
        </is>
      </c>
      <c r="E4" t="inlineStr">
        <is>
          <t>גורם חוץ</t>
        </is>
      </c>
      <c r="G4" t="inlineStr">
        <is>
          <t>חודשי</t>
        </is>
      </c>
      <c r="H4" t="inlineStr">
        <is>
          <t>בוצעה</t>
        </is>
      </c>
      <c r="L4" t="inlineStr">
        <is>
          <t>בסיכון</t>
        </is>
      </c>
      <c r="N4" t="inlineStr">
        <is>
          <t>גבוהה</t>
        </is>
      </c>
      <c r="O4" t="inlineStr">
        <is>
          <t>נסגר</t>
        </is>
      </c>
    </row>
    <row r="5">
      <c r="D5" t="inlineStr">
        <is>
          <t>כ"א</t>
        </is>
      </c>
      <c r="G5" t="inlineStr">
        <is>
          <t>רבעוני</t>
        </is>
      </c>
      <c r="H5" t="inlineStr">
        <is>
          <t>נדחתה</t>
        </is>
      </c>
      <c r="L5" t="inlineStr">
        <is>
          <t>בוטל</t>
        </is>
      </c>
    </row>
    <row r="6">
      <c r="D6" t="inlineStr">
        <is>
          <t>תפעול</t>
        </is>
      </c>
      <c r="H6" t="inlineStr">
        <is>
          <t>בוטלה</t>
        </is>
      </c>
    </row>
    <row r="7">
      <c r="D7" t="inlineStr">
        <is>
          <t>פיתוח עסקי</t>
        </is>
      </c>
    </row>
    <row r="8">
      <c r="D8" t="inlineStr">
        <is>
          <t>תוכן</t>
        </is>
      </c>
    </row>
    <row r="9">
      <c r="D9" t="inlineStr">
        <is>
          <t>רכש</t>
        </is>
      </c>
    </row>
    <row r="10">
      <c r="D10" t="inlineStr">
        <is>
          <t>מלאי</t>
        </is>
      </c>
    </row>
    <row r="11">
      <c r="D11" t="inlineStr">
        <is>
          <t>ביטוח</t>
        </is>
      </c>
    </row>
    <row r="12">
      <c r="D12" t="inlineStr">
        <is>
          <t>משפטי</t>
        </is>
      </c>
    </row>
    <row r="13">
      <c r="D13" t="inlineStr">
        <is>
          <t>ליווי עסקי</t>
        </is>
      </c>
    </row>
    <row r="14">
      <c r="D14" t="inlineStr">
        <is>
          <t>אחר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תיק לקוח</dc:title>
  <dcterms:created xmlns:dcterms="http://purl.org/dc/terms/" xmlns:xsi="http://www.w3.org/2001/XMLSchema-instance" xsi:type="dcterms:W3CDTF">2026-10-21T16:56:52Z</dcterms:created>
  <dcterms:modified xmlns:dcterms="http://purl.org/dc/terms/" xmlns:xsi="http://www.w3.org/2001/XMLSchema-instance" xsi:type="dcterms:W3CDTF">2026-10-21T16:56:52Z</dcterms:modified>
</cp:coreProperties>
</file>