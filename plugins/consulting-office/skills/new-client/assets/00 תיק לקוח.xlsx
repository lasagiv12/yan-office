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8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  <color rgb="000F5E63"/>
      <sz val="13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4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dxfs count="2">
    <dxf>
      <font>
        <color rgb="009C2B1E"/>
      </font>
      <fill>
        <patternFill patternType="solid">
          <fgColor rgb="00FBE3E0"/>
          <bgColor rgb="00FBE3E0"/>
        </patternFill>
      </fill>
    </dxf>
    <dxf>
      <font>
        <color rgb="008A939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התקדמות במשימות</t>
        </is>
      </c>
    </row>
    <row r="5">
      <c r="A5" s="4" t="inlineStr">
        <is>
          <t>אחוז השלמה</t>
        </is>
      </c>
      <c r="B5" s="5">
        <f>IF(B8=0,"",B6/B8)</f>
        <v/>
      </c>
    </row>
    <row r="6">
      <c r="A6" s="4" t="inlineStr">
        <is>
          <t>הושלמו</t>
        </is>
      </c>
      <c r="B6" s="6">
        <f>COUNTIFS(tblTasks[סוג],"&lt;&gt;שוטפת",tblTasks[סטטוס],"בוצעה")</f>
        <v/>
      </c>
    </row>
    <row r="7">
      <c r="A7" s="4" t="inlineStr">
        <is>
          <t>נשארו</t>
        </is>
      </c>
      <c r="B7" s="6">
        <f>B8-B6</f>
        <v/>
      </c>
    </row>
    <row r="8">
      <c r="A8" s="4" t="inlineStr">
        <is>
          <t>סך הכל משימות</t>
        </is>
      </c>
      <c r="B8" s="6">
        <f>COUNTIFS(tblTasks[סוג],"&lt;&gt;שוטפת",tblTasks[סטטוס],"&lt;&gt;")-COUNTIFS(tblTasks[סוג],"&lt;&gt;שוטפת",tblTasks[סטטוס],"בוטלה")</f>
        <v/>
      </c>
    </row>
    <row r="9">
      <c r="A9" s="4" t="inlineStr">
        <is>
          <t>מתוך מה שנשאר: באיחור</t>
        </is>
      </c>
      <c r="B9" s="6">
        <f>COUNTIFS(tblTasks[סוג],"&lt;&gt;שוטפת",tblTasks[סטטוס],"פתוחה",tblTasks[יעד לטיפול],"&lt;"&amp;TODAY())+COUNTIFS(tblTasks[סוג],"&lt;&gt;שוטפת",tblTasks[סטטוס],"בטיפול",tblTasks[יעד לטיפול],"&lt;"&amp;TODAY())</f>
        <v/>
      </c>
    </row>
    <row r="10">
      <c r="A10" s="2" t="inlineStr">
        <is>
          <t>משימות חד-פעמיות, בלי מה שבוטל. משימה שוטפת לא נסגרת, ולכן היא בנפרד.</t>
        </is>
      </c>
    </row>
    <row r="12">
      <c r="A12" s="3" t="inlineStr">
        <is>
          <t>משימות שוטפות</t>
        </is>
      </c>
    </row>
    <row r="13">
      <c r="A13" s="4" t="inlineStr">
        <is>
          <t>פעילות</t>
        </is>
      </c>
      <c r="B13" s="6">
        <f>COUNTIFS(tblTasks[סוג],"שוטפת",tblTasks[סטטוס],"פתוחה")+COUNTIFS(tblTasks[סוג],"שוטפת",tblTasks[סטטוס],"בטיפול")</f>
        <v/>
      </c>
    </row>
    <row r="14">
      <c r="A14" s="4" t="inlineStr">
        <is>
          <t>בזמן</t>
        </is>
      </c>
      <c r="B14" s="6">
        <f>B13-B15</f>
        <v/>
      </c>
    </row>
    <row r="15">
      <c r="A15" s="4" t="inlineStr">
        <is>
          <t>באיחור</t>
        </is>
      </c>
      <c r="B15" s="6">
        <f>COUNTIFS(tblTasks[סוג],"שוטפת",tblTasks[סטטוס],"פתוחה",tblTasks[יעד לטיפול],"&lt;"&amp;TODAY())+COUNTIFS(tblTasks[סוג],"שוטפת",tblTasks[סטטוס],"בטיפול",tblTasks[יעד לטיפול],"&lt;"&amp;TODAY())</f>
        <v/>
      </c>
    </row>
    <row r="17">
      <c r="A17" s="3" t="inlineStr">
        <is>
          <t>התקדמות לפי צד</t>
        </is>
      </c>
    </row>
    <row r="18">
      <c r="A18" s="7" t="inlineStr">
        <is>
          <t>צד</t>
        </is>
      </c>
      <c r="B18" s="7" t="inlineStr">
        <is>
          <t>הושלמו</t>
        </is>
      </c>
      <c r="C18" s="7" t="inlineStr">
        <is>
          <t>נשארו</t>
        </is>
      </c>
      <c r="D18" s="7" t="inlineStr">
        <is>
          <t>באיחור</t>
        </is>
      </c>
      <c r="E18" s="7" t="inlineStr">
        <is>
          <t>אחוז השלמה</t>
        </is>
      </c>
    </row>
    <row r="19">
      <c r="A19" s="4" t="inlineStr">
        <is>
          <t>לקוח</t>
        </is>
      </c>
      <c r="B19" s="8">
        <f>COUNTIFS(tblTasks[צד],$A19,tblTasks[סוג],"&lt;&gt;שוטפת",tblTasks[סטטוס],"בוצעה")</f>
        <v/>
      </c>
      <c r="C19" s="8">
        <f>COUNTIFS(tblTasks[צד],$A19,tblTasks[סוג],"&lt;&gt;שוטפת",tblTasks[סטטוס],"&lt;&gt;")-COUNTIFS(tblTasks[צד],$A19,tblTasks[סוג],"&lt;&gt;שוטפת",tblTasks[סטטוס],"בוטלה")-B19</f>
        <v/>
      </c>
      <c r="D19" s="8">
        <f>COUNTIFS(tblTasks[צד],$A19,tblTasks[סוג],"&lt;&gt;שוטפת",tblTasks[סטטוס],"פתוחה",tblTasks[יעד לטיפול],"&lt;"&amp;TODAY())+COUNTIFS(tblTasks[צד],$A19,tblTasks[סוג],"&lt;&gt;שוטפת",tblTasks[סטטוס],"בטיפול",tblTasks[יעד לטיפול],"&lt;"&amp;TODAY())</f>
        <v/>
      </c>
      <c r="E19" s="9">
        <f>IF(B19+C19=0,"",B19/(B19+C19))</f>
        <v/>
      </c>
    </row>
    <row r="20">
      <c r="A20" s="4" t="inlineStr">
        <is>
          <t>יאן</t>
        </is>
      </c>
      <c r="B20" s="8">
        <f>COUNTIFS(tblTasks[צד],$A20,tblTasks[סוג],"&lt;&gt;שוטפת",tblTasks[סטטוס],"בוצעה")</f>
        <v/>
      </c>
      <c r="C20" s="8">
        <f>COUNTIFS(tblTasks[צד],$A20,tblTasks[סוג],"&lt;&gt;שוטפת",tblTasks[סטטוס],"&lt;&gt;")-COUNTIFS(tblTasks[צד],$A20,tblTasks[סוג],"&lt;&gt;שוטפת",tblTasks[סטטוס],"בוטלה")-B20</f>
        <v/>
      </c>
      <c r="D20" s="8">
        <f>COUNTIFS(tblTasks[צד],$A20,tblTasks[סוג],"&lt;&gt;שוטפת",tblTasks[סטטוס],"פתוחה",tblTasks[יעד לטיפול],"&lt;"&amp;TODAY())+COUNTIFS(tblTasks[צד],$A20,tblTasks[סוג],"&lt;&gt;שוטפת",tblTasks[סטטוס],"בטיפול",tblTasks[יעד לטיפול],"&lt;"&amp;TODAY())</f>
        <v/>
      </c>
      <c r="E20" s="9">
        <f>IF(B20+C20=0,"",B20/(B20+C20))</f>
        <v/>
      </c>
    </row>
    <row r="21">
      <c r="A21" s="4" t="inlineStr">
        <is>
          <t>גורם חוץ</t>
        </is>
      </c>
      <c r="B21" s="8">
        <f>COUNTIFS(tblTasks[צד],$A21,tblTasks[סוג],"&lt;&gt;שוטפת",tblTasks[סטטוס],"בוצעה")</f>
        <v/>
      </c>
      <c r="C21" s="8">
        <f>COUNTIFS(tblTasks[צד],$A21,tblTasks[סוג],"&lt;&gt;שוטפת",tblTasks[סטטוס],"&lt;&gt;")-COUNTIFS(tblTasks[צד],$A21,tblTasks[סוג],"&lt;&gt;שוטפת",tblTasks[סטטוס],"בוטלה")-B21</f>
        <v/>
      </c>
      <c r="D21" s="8">
        <f>COUNTIFS(tblTasks[צד],$A21,tblTasks[סוג],"&lt;&gt;שוטפת",tblTasks[סטטוס],"פתוחה",tblTasks[יעד לטיפול],"&lt;"&amp;TODAY())+COUNTIFS(tblTasks[צד],$A21,tblTasks[סוג],"&lt;&gt;שוטפת",tblTasks[סטטוס],"בטיפול",tblTasks[יעד לטיפול],"&lt;"&amp;TODAY())</f>
        <v/>
      </c>
      <c r="E21" s="9">
        <f>IF(B21+C21=0,"",B21/(B21+C21))</f>
        <v/>
      </c>
    </row>
    <row r="23">
      <c r="A23" s="3" t="inlineStr">
        <is>
          <t>כללי</t>
        </is>
      </c>
    </row>
    <row r="24">
      <c r="A24" s="4" t="inlineStr">
        <is>
          <t>משימות פתוחות (כולל שוטפות)</t>
        </is>
      </c>
      <c r="B24" s="6">
        <f>COUNTIFS(tblTasks[סטטוס],"פתוחה")+COUNTIFS(tblTasks[סטטוס],"בטיפול")</f>
        <v/>
      </c>
    </row>
    <row r="25">
      <c r="A25" s="4" t="inlineStr">
        <is>
          <t>משימות באיחור (כולל שוטפות)</t>
        </is>
      </c>
      <c r="B25" s="6">
        <f>COUNTIFS(tblTasks[סטטוס],"פתוחה",tblTasks[יעד לטיפול],"&lt;"&amp;TODAY())+COUNTIFS(tblTasks[סטטוס],"בטיפול",tblTasks[יעד לטיפול],"&lt;"&amp;TODAY())</f>
        <v/>
      </c>
    </row>
    <row r="26">
      <c r="A26" s="4" t="inlineStr">
        <is>
          <t>משימות פתוחות של יאן</t>
        </is>
      </c>
      <c r="B26" s="6">
        <f>COUNTIFS(tblTasks[צד],"יאן",tblTasks[סטטוס],"פתוחה")+COUNTIFS(tblTasks[צד],"יאן",tblTasks[סטטוס],"בטיפול")</f>
        <v/>
      </c>
    </row>
    <row r="27">
      <c r="A27" s="4" t="inlineStr">
        <is>
          <t>נושאים פתוחים</t>
        </is>
      </c>
      <c r="B27" s="6">
        <f>COUNTIFS(tblOpen[סטטוס],"פתוח")</f>
        <v/>
      </c>
    </row>
    <row r="28">
      <c r="A28" s="4" t="inlineStr">
        <is>
          <t>עקרונות בתוקף</t>
        </is>
      </c>
      <c r="B28" s="6">
        <f>COUNTIFS(tblPrinciples[בתוקף],"כן")</f>
        <v/>
      </c>
    </row>
    <row r="29">
      <c r="A29" s="4" t="inlineStr">
        <is>
          <t>פגישה אחרונה</t>
        </is>
      </c>
      <c r="B29" s="10">
        <f>IF(COUNT(tblMeetings[תאריך])=0,"",MAX(tblMeetings[תאריך]))</f>
        <v/>
      </c>
    </row>
    <row r="30">
      <c r="A30" s="4" t="inlineStr">
        <is>
          <t>פגישה הבאה</t>
        </is>
      </c>
      <c r="B30" s="10">
        <f>IF(COUNT(tblMeetings[פגישה הבאה])=0,"",MAX(tblMeetings[פגישה הבאה]))</f>
        <v/>
      </c>
    </row>
  </sheetData>
  <conditionalFormatting sqref="B5">
    <cfRule type="dataBar" priority="1">
      <dataBar showValue="1">
        <cfvo type="num" val="0"/>
        <cfvo type="num" val="1"/>
        <color rgb="000F5E63"/>
      </dataBar>
    </cfRule>
  </conditionalFormatting>
  <conditionalFormatting sqref="E19:E21">
    <cfRule type="dataBar" priority="1">
      <dataBar showValue="1">
        <cfvo type="num" val="0"/>
        <cfvo type="num" val="1"/>
        <color rgb="000F5E63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11" t="inlineStr">
        <is>
          <t>מזהה</t>
        </is>
      </c>
      <c r="B1" s="11" t="inlineStr">
        <is>
          <t>נושא ראשי</t>
        </is>
      </c>
      <c r="C1" s="11" t="inlineStr">
        <is>
          <t>הנושא לטיפול</t>
        </is>
      </c>
      <c r="D1" s="11" t="inlineStr">
        <is>
          <t>גורם מטפל</t>
        </is>
      </c>
      <c r="E1" s="11" t="inlineStr">
        <is>
          <t>צד</t>
        </is>
      </c>
      <c r="F1" s="11" t="inlineStr">
        <is>
          <t>סוג</t>
        </is>
      </c>
      <c r="G1" s="11" t="inlineStr">
        <is>
          <t>תדירות</t>
        </is>
      </c>
      <c r="H1" s="11" t="inlineStr">
        <is>
          <t>יעד לטיפול</t>
        </is>
      </c>
      <c r="I1" s="11" t="inlineStr">
        <is>
          <t>סטטוס</t>
        </is>
      </c>
      <c r="J1" s="11" t="inlineStr">
        <is>
          <t>תאריך סגירה</t>
        </is>
      </c>
      <c r="K1" s="11" t="inlineStr">
        <is>
          <t>פגישת מקור</t>
        </is>
      </c>
      <c r="L1" s="11" t="inlineStr">
        <is>
          <t>חסוי</t>
        </is>
      </c>
      <c r="M1" s="11" t="inlineStr">
        <is>
          <t>הערות</t>
        </is>
      </c>
    </row>
    <row r="2">
      <c r="A2" s="12" t="n"/>
      <c r="B2" s="12" t="n"/>
      <c r="C2" s="13" t="n"/>
      <c r="D2" s="12" t="n"/>
      <c r="E2" s="12" t="n"/>
      <c r="F2" s="12" t="n"/>
      <c r="G2" s="12" t="n"/>
      <c r="H2" s="14" t="n"/>
      <c r="I2" s="12" t="n"/>
      <c r="J2" s="14" t="n"/>
      <c r="K2" s="14" t="n"/>
      <c r="L2" s="12" t="n"/>
      <c r="M2" s="13" t="n"/>
    </row>
  </sheetData>
  <conditionalFormatting sqref="A2:M2000">
    <cfRule type="expression" priority="1" dxfId="0" stopIfTrue="1">
      <formula>AND(OR($I2="פתוחה",$I2="בטיפול"),ISNUMBER($H2),$H2&lt;TODAY())</formula>
    </cfRule>
    <cfRule type="expression" priority="2" dxfId="1">
      <formula>OR($I2="בוצעה",$I2="בוטלה")</formula>
    </cfRule>
  </conditionalFormatting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מי החליט</t>
        </is>
      </c>
      <c r="E1" s="11" t="inlineStr">
        <is>
          <t>פגישת מקור</t>
        </is>
      </c>
      <c r="F1" s="11" t="inlineStr">
        <is>
          <t>חסוי</t>
        </is>
      </c>
      <c r="G1" s="11" t="inlineStr">
        <is>
          <t>הערות</t>
        </is>
      </c>
    </row>
    <row r="2">
      <c r="A2" s="14" t="n"/>
      <c r="B2" s="12" t="n"/>
      <c r="C2" s="13" t="n"/>
      <c r="D2" s="12" t="n"/>
      <c r="E2" s="14" t="n"/>
      <c r="F2" s="12" t="n"/>
      <c r="G2" s="1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מזהה</t>
        </is>
      </c>
      <c r="B1" s="11" t="inlineStr">
        <is>
          <t>עיקרון</t>
        </is>
      </c>
      <c r="C1" s="11" t="inlineStr">
        <is>
          <t>מאז</t>
        </is>
      </c>
      <c r="D1" s="11" t="inlineStr">
        <is>
          <t>פגישת מקור</t>
        </is>
      </c>
      <c r="E1" s="11" t="inlineStr">
        <is>
          <t>בתוקף</t>
        </is>
      </c>
      <c r="F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מזהה</t>
        </is>
      </c>
      <c r="B1" s="11" t="inlineStr">
        <is>
          <t>נושא</t>
        </is>
      </c>
      <c r="C1" s="11" t="inlineStr">
        <is>
          <t>עלה לראשונה</t>
        </is>
      </c>
      <c r="D1" s="11" t="inlineStr">
        <is>
          <t>תאריך החלטה צפוי</t>
        </is>
      </c>
      <c r="E1" s="11" t="inlineStr">
        <is>
          <t>סטטוס</t>
        </is>
      </c>
      <c r="F1" s="11" t="inlineStr">
        <is>
          <t>פגישת מקור</t>
        </is>
      </c>
      <c r="G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4" t="n"/>
      <c r="G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יעד</t>
        </is>
      </c>
      <c r="B1" s="11" t="inlineStr">
        <is>
          <t>מדד</t>
        </is>
      </c>
      <c r="C1" s="11" t="inlineStr">
        <is>
          <t>ערך יעד</t>
        </is>
      </c>
      <c r="D1" s="11" t="inlineStr">
        <is>
          <t>תאריך יעד</t>
        </is>
      </c>
      <c r="E1" s="11" t="inlineStr">
        <is>
          <t>סטטוס</t>
        </is>
      </c>
      <c r="F1" s="11" t="inlineStr">
        <is>
          <t>הערות</t>
        </is>
      </c>
    </row>
    <row r="2">
      <c r="A2" s="13" t="n"/>
      <c r="B2" s="12" t="n"/>
      <c r="C2" s="12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חודש</t>
        </is>
      </c>
      <c r="B1" s="11" t="inlineStr">
        <is>
          <t>מדד</t>
        </is>
      </c>
      <c r="C1" s="11" t="inlineStr">
        <is>
          <t>ערך</t>
        </is>
      </c>
      <c r="D1" s="11" t="inlineStr">
        <is>
          <t>יחידה</t>
        </is>
      </c>
      <c r="E1" s="11" t="inlineStr">
        <is>
          <t>קובץ מקור</t>
        </is>
      </c>
      <c r="F1" s="11" t="inlineStr">
        <is>
          <t>הערות</t>
        </is>
      </c>
    </row>
    <row r="2">
      <c r="A2" s="15" t="n"/>
      <c r="B2" s="12" t="n"/>
      <c r="C2" s="12" t="n"/>
      <c r="D2" s="12" t="n"/>
      <c r="E2" s="12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חומרה</t>
        </is>
      </c>
      <c r="E1" s="11" t="inlineStr">
        <is>
          <t>סטטוס</t>
        </is>
      </c>
      <c r="F1" s="11" t="inlineStr">
        <is>
          <t>פגישת מקור</t>
        </is>
      </c>
    </row>
    <row r="2">
      <c r="A2" s="14" t="n"/>
      <c r="B2" s="12" t="n"/>
      <c r="C2" s="13" t="n"/>
      <c r="D2" s="12" t="n"/>
      <c r="E2" s="12" t="n"/>
      <c r="F2" s="14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11" t="inlineStr">
        <is>
          <t>תאריך</t>
        </is>
      </c>
      <c r="B1" s="11" t="inlineStr">
        <is>
          <t>נושא</t>
        </is>
      </c>
      <c r="C1" s="11" t="inlineStr">
        <is>
          <t>משתתפים</t>
        </is>
      </c>
      <c r="D1" s="11" t="inlineStr">
        <is>
          <t>תיקייה</t>
        </is>
      </c>
      <c r="E1" s="11" t="inlineStr">
        <is>
          <t>פגישה הבאה</t>
        </is>
      </c>
      <c r="F1" s="11" t="inlineStr">
        <is>
          <t>הערות</t>
        </is>
      </c>
    </row>
    <row r="2">
      <c r="A2" s="14" t="n"/>
      <c r="B2" s="13" t="n"/>
      <c r="C2" s="13" t="n"/>
      <c r="D2" s="13" t="n"/>
      <c r="E2" s="14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גרסת תבנית</t>
        </is>
      </c>
      <c r="B1" t="inlineStr">
        <is>
          <t>2</t>
        </is>
      </c>
      <c r="D1" s="4" t="inlineStr">
        <is>
          <t>lst_topic</t>
        </is>
      </c>
      <c r="E1" s="4" t="inlineStr">
        <is>
          <t>lst_side</t>
        </is>
      </c>
      <c r="F1" s="4" t="inlineStr">
        <is>
          <t>lst_kind</t>
        </is>
      </c>
      <c r="G1" s="4" t="inlineStr">
        <is>
          <t>lst_freq</t>
        </is>
      </c>
      <c r="H1" s="4" t="inlineStr">
        <is>
          <t>lst_task_status</t>
        </is>
      </c>
      <c r="I1" s="4" t="inlineStr">
        <is>
          <t>lst_yesno</t>
        </is>
      </c>
      <c r="J1" s="4" t="inlineStr">
        <is>
          <t>lst_log_kind</t>
        </is>
      </c>
      <c r="K1" s="4" t="inlineStr">
        <is>
          <t>lst_open_status</t>
        </is>
      </c>
      <c r="L1" s="4" t="inlineStr">
        <is>
          <t>lst_goal_status</t>
        </is>
      </c>
      <c r="M1" s="4" t="inlineStr">
        <is>
          <t>lst_risk_kind</t>
        </is>
      </c>
      <c r="N1" s="4" t="inlineStr">
        <is>
          <t>lst_severity</t>
        </is>
      </c>
      <c r="O1" s="4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2026-10-21T16:27:52Z</dcterms:created>
  <dcterms:modified xmlns:dcterms="http://purl.org/dc/terms/" xmlns:xsi="http://www.w3.org/2001/XMLSchema-instance" xsi:type="dcterms:W3CDTF">2026-10-21T16:27:52Z</dcterms:modified>
</cp:coreProperties>
</file>